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ya\Desktop\College 2.0\sem 4\6390.S01 - Analytics Practicum\Final project\"/>
    </mc:Choice>
  </mc:AlternateContent>
  <xr:revisionPtr revIDLastSave="0" documentId="13_ncr:1_{04F9FEBA-9377-4F34-A9D4-3A5BB98E96DC}" xr6:coauthVersionLast="47" xr6:coauthVersionMax="47" xr10:uidLastSave="{00000000-0000-0000-0000-000000000000}"/>
  <bookViews>
    <workbookView xWindow="-113" yWindow="-113" windowWidth="24267" windowHeight="14526" xr2:uid="{90C98E8B-9361-DB4F-B77E-26C1833739F4}"/>
  </bookViews>
  <sheets>
    <sheet name="01 Income Statement" sheetId="1" r:id="rId1"/>
    <sheet name="02 Cash Flow" sheetId="2" r:id="rId2"/>
    <sheet name="CapEx &amp; OpEx Calculation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2" l="1"/>
  <c r="E31" i="2" s="1"/>
  <c r="F31" i="2" s="1"/>
  <c r="G31" i="2" s="1"/>
  <c r="C31" i="2"/>
  <c r="B31" i="2"/>
  <c r="H27" i="2"/>
  <c r="G27" i="2"/>
  <c r="F27" i="2"/>
  <c r="E27" i="2"/>
  <c r="D27" i="2"/>
  <c r="C27" i="2"/>
  <c r="B27" i="2"/>
  <c r="H25" i="2"/>
  <c r="G25" i="2"/>
  <c r="F25" i="2"/>
  <c r="E25" i="2"/>
  <c r="D25" i="2"/>
  <c r="C25" i="2"/>
  <c r="B25" i="2"/>
  <c r="G24" i="2"/>
  <c r="F24" i="2"/>
  <c r="E24" i="2"/>
  <c r="D24" i="2"/>
  <c r="C24" i="2"/>
  <c r="B24" i="2"/>
  <c r="H24" i="2" s="1"/>
  <c r="G23" i="2"/>
  <c r="F23" i="2"/>
  <c r="E23" i="2"/>
  <c r="D23" i="2"/>
  <c r="C23" i="2"/>
  <c r="B23" i="2"/>
  <c r="G22" i="2"/>
  <c r="F22" i="2"/>
  <c r="E22" i="2"/>
  <c r="D22" i="2"/>
  <c r="C22" i="2"/>
  <c r="B22" i="2"/>
  <c r="G18" i="2"/>
  <c r="F18" i="2"/>
  <c r="E18" i="2"/>
  <c r="D18" i="2"/>
  <c r="C18" i="2"/>
  <c r="B18" i="2"/>
  <c r="H18" i="2" s="1"/>
  <c r="G17" i="2"/>
  <c r="F17" i="2"/>
  <c r="E17" i="2"/>
  <c r="D17" i="2"/>
  <c r="C17" i="2"/>
  <c r="B17" i="2"/>
  <c r="G16" i="2"/>
  <c r="F16" i="2"/>
  <c r="E16" i="2"/>
  <c r="D16" i="2"/>
  <c r="C16" i="2"/>
  <c r="B16" i="2"/>
  <c r="H16" i="2" s="1"/>
  <c r="G15" i="2"/>
  <c r="F15" i="2"/>
  <c r="E15" i="2"/>
  <c r="D15" i="2"/>
  <c r="C15" i="2"/>
  <c r="B15" i="2"/>
  <c r="H25" i="5"/>
  <c r="G25" i="5"/>
  <c r="F25" i="5"/>
  <c r="E25" i="5"/>
  <c r="D25" i="5"/>
  <c r="C25" i="5"/>
  <c r="B25" i="5"/>
  <c r="H22" i="5"/>
  <c r="G22" i="5"/>
  <c r="F22" i="5"/>
  <c r="E22" i="5"/>
  <c r="D22" i="5"/>
  <c r="C22" i="5"/>
  <c r="B22" i="5"/>
  <c r="H28" i="5"/>
  <c r="G28" i="5"/>
  <c r="F28" i="5"/>
  <c r="E28" i="5"/>
  <c r="D28" i="5"/>
  <c r="C28" i="5"/>
  <c r="B28" i="5"/>
  <c r="H11" i="5"/>
  <c r="G11" i="5"/>
  <c r="F11" i="5"/>
  <c r="E11" i="5"/>
  <c r="D11" i="5"/>
  <c r="C11" i="5"/>
  <c r="B11" i="5"/>
  <c r="H7" i="5"/>
  <c r="G7" i="5"/>
  <c r="F7" i="5"/>
  <c r="E7" i="5"/>
  <c r="D7" i="5"/>
  <c r="C7" i="5"/>
  <c r="B7" i="5"/>
  <c r="H3" i="5"/>
  <c r="G3" i="5"/>
  <c r="F3" i="5"/>
  <c r="E3" i="5"/>
  <c r="D3" i="5"/>
  <c r="C3" i="5"/>
  <c r="B3" i="5"/>
  <c r="B19" i="2" l="1"/>
  <c r="C19" i="2"/>
  <c r="D19" i="2"/>
  <c r="E19" i="2"/>
  <c r="F19" i="2"/>
  <c r="G19" i="2"/>
  <c r="H22" i="2"/>
  <c r="H23" i="2"/>
  <c r="C29" i="2"/>
  <c r="D29" i="2"/>
  <c r="E29" i="2"/>
  <c r="G29" i="2"/>
  <c r="F29" i="2"/>
  <c r="B29" i="2"/>
  <c r="H15" i="2"/>
  <c r="H17" i="2"/>
  <c r="H29" i="2"/>
  <c r="G32" i="5"/>
  <c r="B32" i="5"/>
  <c r="C32" i="5"/>
  <c r="D32" i="5"/>
  <c r="E32" i="5"/>
  <c r="H32" i="5"/>
  <c r="F32" i="5"/>
  <c r="B18" i="5"/>
  <c r="C18" i="5"/>
  <c r="D18" i="5"/>
  <c r="E18" i="5"/>
  <c r="F18" i="5"/>
  <c r="G18" i="5"/>
  <c r="H19" i="2" l="1"/>
</calcChain>
</file>

<file path=xl/sharedStrings.xml><?xml version="1.0" encoding="utf-8"?>
<sst xmlns="http://schemas.openxmlformats.org/spreadsheetml/2006/main" count="86" uniqueCount="62">
  <si>
    <t>Income Statement ($M)</t>
  </si>
  <si>
    <t>P1</t>
  </si>
  <si>
    <t>P2</t>
  </si>
  <si>
    <t>P3</t>
  </si>
  <si>
    <t>Total</t>
  </si>
  <si>
    <t>Revenue</t>
  </si>
  <si>
    <t>Direct Revenue</t>
  </si>
  <si>
    <t>Halo Revenue</t>
  </si>
  <si>
    <t>Total Revenue</t>
  </si>
  <si>
    <t>Cost of Goods Sold (COGS)</t>
  </si>
  <si>
    <t>Gross Profit</t>
  </si>
  <si>
    <t>Operating Impact</t>
  </si>
  <si>
    <t>Cost Savings (P2)</t>
  </si>
  <si>
    <t>Total Operating Benefit</t>
  </si>
  <si>
    <t>Operating Expenses (platform, ops)</t>
  </si>
  <si>
    <t>EBITDA (Program)</t>
  </si>
  <si>
    <t>Investment (CapEx)</t>
  </si>
  <si>
    <t>Contingency</t>
  </si>
  <si>
    <t>Net Profit (Program Level)</t>
  </si>
  <si>
    <t>Pro Forma Income Statement (6-Quarter Cumulative)</t>
  </si>
  <si>
    <t>Cash Flow ($M)</t>
  </si>
  <si>
    <t>Q1</t>
  </si>
  <si>
    <t>Q2</t>
  </si>
  <si>
    <t>Q3</t>
  </si>
  <si>
    <t>Q4</t>
  </si>
  <si>
    <t>Q5</t>
  </si>
  <si>
    <t>Q6</t>
  </si>
  <si>
    <t>Cash Inflows</t>
  </si>
  <si>
    <t>P1 Revenue</t>
  </si>
  <si>
    <t>P2 Savings</t>
  </si>
  <si>
    <t>P3 Revenue</t>
  </si>
  <si>
    <t>P3 Halo</t>
  </si>
  <si>
    <t>Total Inflows</t>
  </si>
  <si>
    <t>Cash Outflows</t>
  </si>
  <si>
    <t>Program Spend</t>
  </si>
  <si>
    <t>Net Cash Flow</t>
  </si>
  <si>
    <t>Cumulative Cash Flow</t>
  </si>
  <si>
    <t>Pro Forma Cash Flow Statement (Quarterly)</t>
  </si>
  <si>
    <t>P2 — AI Design</t>
  </si>
  <si>
    <t>P3 — Capsule Fund</t>
  </si>
  <si>
    <t>Contingency Reserve (unallocated)</t>
  </si>
  <si>
    <t>P1 — Recommendation Engine</t>
  </si>
  <si>
    <t>Proposals</t>
  </si>
  <si>
    <t>P1 – Recommendation Engine</t>
  </si>
  <si>
    <t>P2 – AI Design</t>
  </si>
  <si>
    <t>Total CapEx</t>
  </si>
  <si>
    <t>Total OpEx</t>
  </si>
  <si>
    <t>CapEx</t>
  </si>
  <si>
    <t>OpEx</t>
  </si>
  <si>
    <t>CapEx ($M)</t>
  </si>
  <si>
    <t>P3 – Capsule (Setup)</t>
  </si>
  <si>
    <t>OpEx ($M)</t>
  </si>
  <si>
    <t>Platform Ops &amp; Maintenance (OpEx)</t>
  </si>
  <si>
    <t>3D Sampling &amp; Tool Setup (CapEx)</t>
  </si>
  <si>
    <t>Intelligence Layer &amp; Validation (CapEx)</t>
  </si>
  <si>
    <t>Tools, Talent &amp; Governance (OpEx)</t>
  </si>
  <si>
    <t>Licensing + Base Inventory (CapEx)</t>
  </si>
  <si>
    <t>Manufacturing Setup (CapEx)</t>
  </si>
  <si>
    <t>Marketing &amp; Activation (OpEx)</t>
  </si>
  <si>
    <t>Decoration &amp; Fulfillment (OpEx)</t>
  </si>
  <si>
    <t>Social Trend Layer</t>
  </si>
  <si>
    <t>Core Build &amp;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</si>
</sst>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3" fontId="0" fillId="0" borderId="0" xfId="1" applyFont="1"/>
    <xf numFmtId="43" fontId="1" fillId="0" borderId="0" xfId="1" applyFont="1"/>
    <xf numFmtId="0" fontId="0" fillId="0" borderId="0" xfId="0" applyAlignment="1">
      <alignment horizontal="left" indent="3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5" fillId="0" borderId="0" xfId="1" applyFont="1" applyAlignment="1">
      <alignment vertical="center" wrapText="1"/>
    </xf>
    <xf numFmtId="43" fontId="4" fillId="0" borderId="0" xfId="1" applyFont="1" applyAlignment="1">
      <alignment vertical="center" wrapText="1"/>
    </xf>
    <xf numFmtId="43" fontId="4" fillId="0" borderId="0" xfId="1" applyFont="1" applyAlignment="1">
      <alignment horizontal="center" vertical="center" wrapText="1"/>
    </xf>
    <xf numFmtId="0" fontId="0" fillId="0" borderId="0" xfId="0" applyFill="1" applyAlignment="1">
      <alignment horizontal="left" indent="3"/>
    </xf>
    <xf numFmtId="43" fontId="0" fillId="0" borderId="0" xfId="1" applyFont="1" applyFill="1"/>
    <xf numFmtId="0" fontId="0" fillId="0" borderId="0" xfId="0" applyFill="1"/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/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5"/>
    </xf>
    <xf numFmtId="43" fontId="1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B164-7699-E947-9F24-161E45EDA5D1}">
  <dimension ref="A1:E24"/>
  <sheetViews>
    <sheetView tabSelected="1" zoomScale="171" workbookViewId="0">
      <pane ySplit="3" topLeftCell="A4" activePane="bottomLeft" state="frozen"/>
      <selection pane="bottomLeft" activeCell="F12" sqref="F12"/>
    </sheetView>
  </sheetViews>
  <sheetFormatPr defaultColWidth="11.19921875" defaultRowHeight="15.65" x14ac:dyDescent="0.3"/>
  <cols>
    <col min="1" max="1" width="45.3984375" bestFit="1" customWidth="1"/>
    <col min="2" max="5" width="10.09765625" customWidth="1"/>
  </cols>
  <sheetData>
    <row r="1" spans="1:5" x14ac:dyDescent="0.3">
      <c r="A1" s="1" t="s">
        <v>19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1" t="s">
        <v>5</v>
      </c>
    </row>
    <row r="5" spans="1:5" x14ac:dyDescent="0.3">
      <c r="A5" t="s">
        <v>6</v>
      </c>
      <c r="B5" s="3">
        <v>61</v>
      </c>
      <c r="C5" s="3">
        <v>0</v>
      </c>
      <c r="D5" s="3">
        <v>6.9</v>
      </c>
      <c r="E5" s="3">
        <v>67.900000000000006</v>
      </c>
    </row>
    <row r="6" spans="1:5" x14ac:dyDescent="0.3">
      <c r="A6" t="s">
        <v>7</v>
      </c>
      <c r="B6" s="3">
        <v>0</v>
      </c>
      <c r="C6" s="3">
        <v>0</v>
      </c>
      <c r="D6" s="3">
        <v>15</v>
      </c>
      <c r="E6" s="3">
        <v>15</v>
      </c>
    </row>
    <row r="7" spans="1:5" x14ac:dyDescent="0.3">
      <c r="A7" s="1" t="s">
        <v>8</v>
      </c>
      <c r="B7" s="4">
        <v>61</v>
      </c>
      <c r="C7" s="4">
        <v>0</v>
      </c>
      <c r="D7" s="4">
        <v>21.9</v>
      </c>
      <c r="E7" s="4">
        <v>82.9</v>
      </c>
    </row>
    <row r="9" spans="1:5" x14ac:dyDescent="0.3">
      <c r="A9" s="1" t="s">
        <v>9</v>
      </c>
      <c r="B9" s="3">
        <v>-23.6</v>
      </c>
      <c r="C9" s="3">
        <v>0</v>
      </c>
      <c r="D9" s="3">
        <v>-8.4</v>
      </c>
      <c r="E9" s="3">
        <v>-32</v>
      </c>
    </row>
    <row r="10" spans="1:5" x14ac:dyDescent="0.3">
      <c r="A10" s="1" t="s">
        <v>10</v>
      </c>
      <c r="B10" s="4">
        <v>37.4</v>
      </c>
      <c r="C10" s="3">
        <v>0</v>
      </c>
      <c r="D10" s="4">
        <v>13.5</v>
      </c>
      <c r="E10" s="4">
        <v>50.9</v>
      </c>
    </row>
    <row r="11" spans="1:5" x14ac:dyDescent="0.3">
      <c r="B11" s="3"/>
      <c r="C11" s="3"/>
      <c r="D11" s="3"/>
      <c r="E11" s="3"/>
    </row>
    <row r="12" spans="1:5" x14ac:dyDescent="0.3">
      <c r="A12" s="1" t="s">
        <v>11</v>
      </c>
      <c r="B12" s="3"/>
      <c r="C12" s="3"/>
      <c r="D12" s="3"/>
      <c r="E12" s="3"/>
    </row>
    <row r="13" spans="1:5" x14ac:dyDescent="0.3">
      <c r="A13" t="s">
        <v>12</v>
      </c>
      <c r="B13" s="3">
        <v>0</v>
      </c>
      <c r="C13" s="3">
        <v>18</v>
      </c>
      <c r="D13" s="3">
        <v>0</v>
      </c>
      <c r="E13" s="3">
        <v>18</v>
      </c>
    </row>
    <row r="14" spans="1:5" x14ac:dyDescent="0.3">
      <c r="B14" s="3"/>
      <c r="C14" s="3"/>
      <c r="D14" s="3"/>
      <c r="E14" s="3"/>
    </row>
    <row r="15" spans="1:5" x14ac:dyDescent="0.3">
      <c r="A15" s="1" t="s">
        <v>13</v>
      </c>
      <c r="B15" s="4">
        <v>37.4</v>
      </c>
      <c r="C15" s="4">
        <v>18</v>
      </c>
      <c r="D15" s="4">
        <v>13.5</v>
      </c>
      <c r="E15" s="4">
        <v>68.900000000000006</v>
      </c>
    </row>
    <row r="16" spans="1:5" x14ac:dyDescent="0.3">
      <c r="B16" s="3"/>
      <c r="C16" s="3"/>
      <c r="D16" s="3"/>
      <c r="E16" s="3"/>
    </row>
    <row r="17" spans="1:5" x14ac:dyDescent="0.3">
      <c r="A17" s="1" t="s">
        <v>14</v>
      </c>
      <c r="B17" s="3">
        <v>-3</v>
      </c>
      <c r="C17" s="3">
        <v>-2.5</v>
      </c>
      <c r="D17" s="3">
        <v>-1.5</v>
      </c>
      <c r="E17" s="3">
        <v>-7</v>
      </c>
    </row>
    <row r="18" spans="1:5" x14ac:dyDescent="0.3">
      <c r="B18" s="3"/>
      <c r="C18" s="3"/>
      <c r="D18" s="3"/>
      <c r="E18" s="3"/>
    </row>
    <row r="19" spans="1:5" x14ac:dyDescent="0.3">
      <c r="A19" s="1" t="s">
        <v>15</v>
      </c>
      <c r="B19" s="3"/>
      <c r="C19" s="3"/>
      <c r="D19" s="3"/>
      <c r="E19" s="4">
        <v>61.9</v>
      </c>
    </row>
    <row r="20" spans="1:5" x14ac:dyDescent="0.3">
      <c r="B20" s="3"/>
      <c r="C20" s="3"/>
      <c r="D20" s="3"/>
      <c r="E20" s="3"/>
    </row>
    <row r="21" spans="1:5" x14ac:dyDescent="0.3">
      <c r="A21" s="1" t="s">
        <v>16</v>
      </c>
      <c r="B21" s="3">
        <v>-15</v>
      </c>
      <c r="C21" s="3">
        <v>-20</v>
      </c>
      <c r="D21" s="3">
        <v>-10</v>
      </c>
      <c r="E21" s="3">
        <v>-45</v>
      </c>
    </row>
    <row r="22" spans="1:5" x14ac:dyDescent="0.3">
      <c r="A22" t="s">
        <v>17</v>
      </c>
      <c r="B22" s="3">
        <v>0</v>
      </c>
      <c r="C22" s="3">
        <v>0</v>
      </c>
      <c r="D22" s="3">
        <v>0</v>
      </c>
      <c r="E22" s="3">
        <v>-5</v>
      </c>
    </row>
    <row r="23" spans="1:5" x14ac:dyDescent="0.3">
      <c r="B23" s="3"/>
      <c r="C23" s="3"/>
      <c r="D23" s="3"/>
      <c r="E23" s="3"/>
    </row>
    <row r="24" spans="1:5" x14ac:dyDescent="0.3">
      <c r="A24" s="1" t="s">
        <v>18</v>
      </c>
      <c r="B24" s="3"/>
      <c r="C24" s="3"/>
      <c r="D24" s="3"/>
      <c r="E24" s="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0111-3481-3340-B7A8-EB2E523E1FB2}">
  <dimension ref="A1:H31"/>
  <sheetViews>
    <sheetView zoomScale="170" zoomScaleNormal="170" workbookViewId="0">
      <pane ySplit="4" topLeftCell="A5" activePane="bottomLeft" state="frozen"/>
      <selection pane="bottomLeft" activeCell="H6" sqref="H6"/>
    </sheetView>
  </sheetViews>
  <sheetFormatPr defaultColWidth="11.19921875" defaultRowHeight="15.65" x14ac:dyDescent="0.3"/>
  <cols>
    <col min="1" max="1" width="37.3984375" bestFit="1" customWidth="1"/>
    <col min="2" max="7" width="8.5" customWidth="1"/>
    <col min="8" max="8" width="8.5" style="1" customWidth="1"/>
  </cols>
  <sheetData>
    <row r="1" spans="1:8" x14ac:dyDescent="0.3">
      <c r="A1" s="1" t="s">
        <v>37</v>
      </c>
    </row>
    <row r="2" spans="1:8" x14ac:dyDescent="0.3">
      <c r="A2" s="1"/>
    </row>
    <row r="3" spans="1:8" x14ac:dyDescent="0.3">
      <c r="A3" s="1"/>
    </row>
    <row r="4" spans="1: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</v>
      </c>
    </row>
    <row r="5" spans="1:8" x14ac:dyDescent="0.3">
      <c r="A5" s="1" t="s">
        <v>27</v>
      </c>
    </row>
    <row r="6" spans="1:8" x14ac:dyDescent="0.3">
      <c r="A6" s="5" t="s">
        <v>28</v>
      </c>
      <c r="B6" s="3">
        <v>0</v>
      </c>
      <c r="C6" s="3">
        <v>1</v>
      </c>
      <c r="D6" s="3">
        <v>5</v>
      </c>
      <c r="E6" s="3">
        <v>12</v>
      </c>
      <c r="F6" s="3">
        <v>20</v>
      </c>
      <c r="G6" s="3">
        <v>23</v>
      </c>
      <c r="H6" s="4">
        <v>61</v>
      </c>
    </row>
    <row r="7" spans="1:8" x14ac:dyDescent="0.3">
      <c r="A7" s="5" t="s">
        <v>29</v>
      </c>
      <c r="B7" s="3">
        <v>0</v>
      </c>
      <c r="C7" s="3">
        <v>0.5</v>
      </c>
      <c r="D7" s="3">
        <v>2</v>
      </c>
      <c r="E7" s="3">
        <v>4</v>
      </c>
      <c r="F7" s="3">
        <v>5.5</v>
      </c>
      <c r="G7" s="3">
        <v>6</v>
      </c>
      <c r="H7" s="4">
        <v>18</v>
      </c>
    </row>
    <row r="8" spans="1:8" x14ac:dyDescent="0.3">
      <c r="A8" s="5" t="s">
        <v>30</v>
      </c>
      <c r="B8" s="3">
        <v>0.4</v>
      </c>
      <c r="C8" s="3">
        <v>1.3</v>
      </c>
      <c r="D8" s="3">
        <v>1.3</v>
      </c>
      <c r="E8" s="3">
        <v>1.3</v>
      </c>
      <c r="F8" s="3">
        <v>1.3</v>
      </c>
      <c r="G8" s="3">
        <v>1.3</v>
      </c>
      <c r="H8" s="4">
        <v>6.9</v>
      </c>
    </row>
    <row r="9" spans="1:8" s="15" customFormat="1" x14ac:dyDescent="0.3">
      <c r="A9" s="13" t="s">
        <v>31</v>
      </c>
      <c r="B9" s="14">
        <v>0.5</v>
      </c>
      <c r="C9" s="14">
        <v>2</v>
      </c>
      <c r="D9" s="14">
        <v>3</v>
      </c>
      <c r="E9" s="14">
        <v>3</v>
      </c>
      <c r="F9" s="14">
        <v>3.5</v>
      </c>
      <c r="G9" s="14">
        <v>3</v>
      </c>
      <c r="H9" s="21">
        <v>15</v>
      </c>
    </row>
    <row r="10" spans="1:8" x14ac:dyDescent="0.3">
      <c r="A10" s="1" t="s">
        <v>32</v>
      </c>
      <c r="B10" s="4">
        <v>0.9</v>
      </c>
      <c r="C10" s="4">
        <v>4.8</v>
      </c>
      <c r="D10" s="4">
        <v>11.3</v>
      </c>
      <c r="E10" s="4">
        <v>20.3</v>
      </c>
      <c r="F10" s="4">
        <v>30.3</v>
      </c>
      <c r="G10" s="4">
        <v>33.299999999999997</v>
      </c>
      <c r="H10" s="4">
        <v>100.9</v>
      </c>
    </row>
    <row r="12" spans="1:8" x14ac:dyDescent="0.3">
      <c r="A12" s="1" t="s">
        <v>33</v>
      </c>
    </row>
    <row r="13" spans="1:8" x14ac:dyDescent="0.3">
      <c r="A13" s="1" t="s">
        <v>42</v>
      </c>
      <c r="B13" s="2"/>
      <c r="C13" s="2"/>
      <c r="D13" s="2"/>
      <c r="E13" s="2"/>
      <c r="F13" s="2"/>
      <c r="G13" s="2"/>
      <c r="H13" s="2"/>
    </row>
    <row r="14" spans="1:8" x14ac:dyDescent="0.3">
      <c r="A14" s="19" t="s">
        <v>47</v>
      </c>
      <c r="B14" s="2"/>
      <c r="C14" s="2"/>
      <c r="D14" s="2"/>
      <c r="E14" s="2"/>
      <c r="F14" s="2"/>
      <c r="G14" s="2"/>
      <c r="H14" s="2"/>
    </row>
    <row r="15" spans="1:8" x14ac:dyDescent="0.3">
      <c r="A15" s="20" t="s">
        <v>41</v>
      </c>
      <c r="B15" s="3">
        <f>'CapEx &amp; OpEx Calculations'!B3</f>
        <v>3</v>
      </c>
      <c r="C15" s="3">
        <f>'CapEx &amp; OpEx Calculations'!C3</f>
        <v>3</v>
      </c>
      <c r="D15" s="3">
        <f>'CapEx &amp; OpEx Calculations'!D3</f>
        <v>2.5</v>
      </c>
      <c r="E15" s="3">
        <f>'CapEx &amp; OpEx Calculations'!E3</f>
        <v>2.5</v>
      </c>
      <c r="F15" s="3">
        <f>'CapEx &amp; OpEx Calculations'!F3</f>
        <v>2</v>
      </c>
      <c r="G15" s="3">
        <f>'CapEx &amp; OpEx Calculations'!G3</f>
        <v>2</v>
      </c>
      <c r="H15" s="4">
        <f>SUM(B15:G15)</f>
        <v>15</v>
      </c>
    </row>
    <row r="16" spans="1:8" x14ac:dyDescent="0.3">
      <c r="A16" s="20" t="s">
        <v>38</v>
      </c>
      <c r="B16" s="3">
        <f>'CapEx &amp; OpEx Calculations'!B7</f>
        <v>4</v>
      </c>
      <c r="C16" s="3">
        <f>'CapEx &amp; OpEx Calculations'!C7</f>
        <v>4</v>
      </c>
      <c r="D16" s="3">
        <f>'CapEx &amp; OpEx Calculations'!D7</f>
        <v>3.5</v>
      </c>
      <c r="E16" s="3">
        <f>'CapEx &amp; OpEx Calculations'!E7</f>
        <v>3.5</v>
      </c>
      <c r="F16" s="3">
        <f>'CapEx &amp; OpEx Calculations'!F7</f>
        <v>2.5</v>
      </c>
      <c r="G16" s="3">
        <f>'CapEx &amp; OpEx Calculations'!G7</f>
        <v>2.5</v>
      </c>
      <c r="H16" s="4">
        <f t="shared" ref="H16:H18" si="0">SUM(B16:G16)</f>
        <v>20</v>
      </c>
    </row>
    <row r="17" spans="1:8" x14ac:dyDescent="0.3">
      <c r="A17" s="20" t="s">
        <v>39</v>
      </c>
      <c r="B17" s="3">
        <f>'CapEx &amp; OpEx Calculations'!B11</f>
        <v>1.5</v>
      </c>
      <c r="C17" s="3">
        <f>'CapEx &amp; OpEx Calculations'!C11</f>
        <v>1.5</v>
      </c>
      <c r="D17" s="3">
        <f>'CapEx &amp; OpEx Calculations'!D11</f>
        <v>1.5</v>
      </c>
      <c r="E17" s="3">
        <f>'CapEx &amp; OpEx Calculations'!E11</f>
        <v>1.5</v>
      </c>
      <c r="F17" s="3">
        <f>'CapEx &amp; OpEx Calculations'!F11</f>
        <v>2</v>
      </c>
      <c r="G17" s="3">
        <f>'CapEx &amp; OpEx Calculations'!G11</f>
        <v>2</v>
      </c>
      <c r="H17" s="4">
        <f t="shared" si="0"/>
        <v>10</v>
      </c>
    </row>
    <row r="18" spans="1:8" x14ac:dyDescent="0.3">
      <c r="A18" s="20" t="s">
        <v>40</v>
      </c>
      <c r="B18" s="3">
        <f>'CapEx &amp; OpEx Calculations'!B15</f>
        <v>0</v>
      </c>
      <c r="C18" s="3">
        <f>'CapEx &amp; OpEx Calculations'!C15</f>
        <v>0.5</v>
      </c>
      <c r="D18" s="3">
        <f>'CapEx &amp; OpEx Calculations'!D15</f>
        <v>1</v>
      </c>
      <c r="E18" s="3">
        <f>'CapEx &amp; OpEx Calculations'!E15</f>
        <v>1.5</v>
      </c>
      <c r="F18" s="3">
        <f>'CapEx &amp; OpEx Calculations'!F15</f>
        <v>1</v>
      </c>
      <c r="G18" s="3">
        <f>'CapEx &amp; OpEx Calculations'!G15</f>
        <v>1</v>
      </c>
      <c r="H18" s="4">
        <f t="shared" si="0"/>
        <v>5</v>
      </c>
    </row>
    <row r="19" spans="1:8" x14ac:dyDescent="0.3">
      <c r="A19" s="19" t="s">
        <v>45</v>
      </c>
      <c r="B19" s="4">
        <f>SUM(B15:B18)</f>
        <v>8.5</v>
      </c>
      <c r="C19" s="4">
        <f t="shared" ref="C19:G19" si="1">SUM(C15:C18)</f>
        <v>9</v>
      </c>
      <c r="D19" s="4">
        <f t="shared" si="1"/>
        <v>8.5</v>
      </c>
      <c r="E19" s="4">
        <f t="shared" si="1"/>
        <v>9</v>
      </c>
      <c r="F19" s="4">
        <f t="shared" si="1"/>
        <v>7.5</v>
      </c>
      <c r="G19" s="4">
        <f t="shared" si="1"/>
        <v>7.5</v>
      </c>
      <c r="H19" s="4">
        <f>SUM(H15:H18)</f>
        <v>50</v>
      </c>
    </row>
    <row r="20" spans="1:8" x14ac:dyDescent="0.3">
      <c r="A20" s="20"/>
      <c r="B20" s="3"/>
      <c r="C20" s="3"/>
      <c r="D20" s="3"/>
      <c r="E20" s="3"/>
      <c r="F20" s="3"/>
      <c r="G20" s="3"/>
      <c r="H20" s="4"/>
    </row>
    <row r="21" spans="1:8" x14ac:dyDescent="0.3">
      <c r="A21" s="19" t="s">
        <v>48</v>
      </c>
      <c r="B21" s="3"/>
      <c r="C21" s="3"/>
      <c r="D21" s="3"/>
      <c r="E21" s="3"/>
      <c r="F21" s="3"/>
      <c r="G21" s="3"/>
      <c r="H21" s="4"/>
    </row>
    <row r="22" spans="1:8" x14ac:dyDescent="0.3">
      <c r="A22" s="20" t="s">
        <v>41</v>
      </c>
      <c r="B22" s="3">
        <f>'CapEx &amp; OpEx Calculations'!B22</f>
        <v>0.3</v>
      </c>
      <c r="C22" s="3">
        <f>'CapEx &amp; OpEx Calculations'!C22</f>
        <v>0.5</v>
      </c>
      <c r="D22" s="3">
        <f>'CapEx &amp; OpEx Calculations'!D22</f>
        <v>0.7</v>
      </c>
      <c r="E22" s="3">
        <f>'CapEx &amp; OpEx Calculations'!E22</f>
        <v>0.8</v>
      </c>
      <c r="F22" s="3">
        <f>'CapEx &amp; OpEx Calculations'!F22</f>
        <v>0.9</v>
      </c>
      <c r="G22" s="3">
        <f>'CapEx &amp; OpEx Calculations'!G22</f>
        <v>0.8</v>
      </c>
      <c r="H22" s="4">
        <f t="shared" ref="H22:H24" si="2">SUM(B22:G22)</f>
        <v>4</v>
      </c>
    </row>
    <row r="23" spans="1:8" x14ac:dyDescent="0.3">
      <c r="A23" s="20" t="s">
        <v>38</v>
      </c>
      <c r="B23" s="3">
        <f>'CapEx &amp; OpEx Calculations'!B25</f>
        <v>0.2</v>
      </c>
      <c r="C23" s="3">
        <f>'CapEx &amp; OpEx Calculations'!C25</f>
        <v>0.3</v>
      </c>
      <c r="D23" s="3">
        <f>'CapEx &amp; OpEx Calculations'!D25</f>
        <v>0.5</v>
      </c>
      <c r="E23" s="3">
        <f>'CapEx &amp; OpEx Calculations'!E25</f>
        <v>0.6</v>
      </c>
      <c r="F23" s="3">
        <f>'CapEx &amp; OpEx Calculations'!F25</f>
        <v>0.7</v>
      </c>
      <c r="G23" s="3">
        <f>'CapEx &amp; OpEx Calculations'!G25</f>
        <v>0.7</v>
      </c>
      <c r="H23" s="4">
        <f t="shared" si="2"/>
        <v>3</v>
      </c>
    </row>
    <row r="24" spans="1:8" x14ac:dyDescent="0.3">
      <c r="A24" s="20" t="s">
        <v>39</v>
      </c>
      <c r="B24" s="3">
        <f>'CapEx &amp; OpEx Calculations'!B28</f>
        <v>0.60000000000000009</v>
      </c>
      <c r="C24" s="3">
        <f>'CapEx &amp; OpEx Calculations'!C28</f>
        <v>1.1000000000000001</v>
      </c>
      <c r="D24" s="3">
        <f>'CapEx &amp; OpEx Calculations'!D28</f>
        <v>1.3</v>
      </c>
      <c r="E24" s="3">
        <f>'CapEx &amp; OpEx Calculations'!E28</f>
        <v>1.5</v>
      </c>
      <c r="F24" s="3">
        <f>'CapEx &amp; OpEx Calculations'!F28</f>
        <v>1.7</v>
      </c>
      <c r="G24" s="3">
        <f>'CapEx &amp; OpEx Calculations'!G28</f>
        <v>1.7</v>
      </c>
      <c r="H24" s="4">
        <f t="shared" si="2"/>
        <v>7.9</v>
      </c>
    </row>
    <row r="25" spans="1:8" x14ac:dyDescent="0.3">
      <c r="A25" s="19" t="s">
        <v>46</v>
      </c>
      <c r="B25" s="4">
        <f>SUM(B22:B24)</f>
        <v>1.1000000000000001</v>
      </c>
      <c r="C25" s="4">
        <f t="shared" ref="C25:H25" si="3">SUM(C22:C24)</f>
        <v>1.9000000000000001</v>
      </c>
      <c r="D25" s="4">
        <f t="shared" si="3"/>
        <v>2.5</v>
      </c>
      <c r="E25" s="4">
        <f t="shared" si="3"/>
        <v>2.9</v>
      </c>
      <c r="F25" s="4">
        <f t="shared" si="3"/>
        <v>3.3</v>
      </c>
      <c r="G25" s="4">
        <f t="shared" si="3"/>
        <v>3.2</v>
      </c>
      <c r="H25" s="4">
        <f t="shared" si="3"/>
        <v>14.9</v>
      </c>
    </row>
    <row r="26" spans="1:8" x14ac:dyDescent="0.3">
      <c r="A26" s="5"/>
      <c r="B26" s="3"/>
      <c r="C26" s="3"/>
      <c r="D26" s="3"/>
      <c r="E26" s="3"/>
      <c r="F26" s="3"/>
      <c r="G26" s="3"/>
      <c r="H26" s="4"/>
    </row>
    <row r="27" spans="1:8" x14ac:dyDescent="0.3">
      <c r="A27" s="1" t="s">
        <v>34</v>
      </c>
      <c r="B27" s="4">
        <f>B19+B25</f>
        <v>9.6</v>
      </c>
      <c r="C27" s="4">
        <f t="shared" ref="C27:H27" si="4">C19+C25</f>
        <v>10.9</v>
      </c>
      <c r="D27" s="4">
        <f t="shared" si="4"/>
        <v>11</v>
      </c>
      <c r="E27" s="4">
        <f t="shared" si="4"/>
        <v>11.9</v>
      </c>
      <c r="F27" s="4">
        <f t="shared" si="4"/>
        <v>10.8</v>
      </c>
      <c r="G27" s="4">
        <f t="shared" si="4"/>
        <v>10.7</v>
      </c>
      <c r="H27" s="4">
        <f t="shared" si="4"/>
        <v>64.900000000000006</v>
      </c>
    </row>
    <row r="28" spans="1:8" x14ac:dyDescent="0.3">
      <c r="B28" s="3"/>
      <c r="C28" s="3"/>
      <c r="D28" s="3"/>
      <c r="E28" s="3"/>
      <c r="F28" s="3"/>
      <c r="G28" s="3"/>
      <c r="H28" s="4"/>
    </row>
    <row r="29" spans="1:8" x14ac:dyDescent="0.3">
      <c r="A29" s="1" t="s">
        <v>35</v>
      </c>
      <c r="B29" s="4">
        <f>B10-B27</f>
        <v>-8.6999999999999993</v>
      </c>
      <c r="C29" s="4">
        <f>C10-C27</f>
        <v>-6.1000000000000005</v>
      </c>
      <c r="D29" s="4">
        <f>D10-D27</f>
        <v>0.30000000000000071</v>
      </c>
      <c r="E29" s="4">
        <f>E10-E27</f>
        <v>8.4</v>
      </c>
      <c r="F29" s="4">
        <f>F10-F27</f>
        <v>19.5</v>
      </c>
      <c r="G29" s="4">
        <f>G10-G27</f>
        <v>22.599999999999998</v>
      </c>
      <c r="H29" s="4">
        <f>H10-H27</f>
        <v>36</v>
      </c>
    </row>
    <row r="30" spans="1:8" x14ac:dyDescent="0.3">
      <c r="B30" s="3"/>
      <c r="C30" s="3"/>
      <c r="D30" s="3"/>
      <c r="E30" s="3"/>
      <c r="F30" s="3"/>
      <c r="G30" s="3"/>
      <c r="H30" s="4"/>
    </row>
    <row r="31" spans="1:8" x14ac:dyDescent="0.3">
      <c r="A31" s="1" t="s">
        <v>36</v>
      </c>
      <c r="B31" s="4">
        <f>B29</f>
        <v>-8.6999999999999993</v>
      </c>
      <c r="C31" s="4">
        <f>B31+C29</f>
        <v>-14.8</v>
      </c>
      <c r="D31" s="4">
        <f t="shared" ref="D31:G31" si="5">C31+D29</f>
        <v>-14.5</v>
      </c>
      <c r="E31" s="4">
        <f t="shared" si="5"/>
        <v>-6.1</v>
      </c>
      <c r="F31" s="4">
        <f t="shared" si="5"/>
        <v>13.4</v>
      </c>
      <c r="G31" s="4">
        <f t="shared" si="5"/>
        <v>36</v>
      </c>
      <c r="H3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0FAF-4A77-41AE-8D9A-619F7A6E9239}">
  <dimension ref="A2:P38"/>
  <sheetViews>
    <sheetView workbookViewId="0">
      <selection activeCell="A22" sqref="A22"/>
    </sheetView>
  </sheetViews>
  <sheetFormatPr defaultRowHeight="15.65" x14ac:dyDescent="0.3"/>
  <cols>
    <col min="1" max="1" width="34.296875" style="17" bestFit="1" customWidth="1"/>
    <col min="2" max="2" width="11.296875" style="3" bestFit="1" customWidth="1"/>
    <col min="3" max="7" width="8.796875" style="3"/>
    <col min="8" max="8" width="8.796875" style="4"/>
  </cols>
  <sheetData>
    <row r="2" spans="1:16" ht="16.899999999999999" x14ac:dyDescent="0.3">
      <c r="A2" s="16" t="s">
        <v>49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4</v>
      </c>
    </row>
    <row r="3" spans="1:16" ht="16.899999999999999" x14ac:dyDescent="0.3">
      <c r="A3" s="9" t="s">
        <v>43</v>
      </c>
      <c r="B3" s="11">
        <f>SUM(B4:B5)</f>
        <v>3</v>
      </c>
      <c r="C3" s="11">
        <f>SUM(C4:C5)</f>
        <v>3</v>
      </c>
      <c r="D3" s="11">
        <f>SUM(D4:D5)</f>
        <v>2.5</v>
      </c>
      <c r="E3" s="11">
        <f>SUM(E4:E5)</f>
        <v>2.5</v>
      </c>
      <c r="F3" s="11">
        <f>SUM(F4:F5)</f>
        <v>2</v>
      </c>
      <c r="G3" s="11">
        <f>SUM(G4:G5)</f>
        <v>2</v>
      </c>
      <c r="H3" s="11">
        <f>SUM(H4:H5)</f>
        <v>15</v>
      </c>
    </row>
    <row r="4" spans="1:16" ht="16.899999999999999" x14ac:dyDescent="0.3">
      <c r="A4" s="8" t="s">
        <v>61</v>
      </c>
      <c r="B4" s="10">
        <v>2.5</v>
      </c>
      <c r="C4" s="10">
        <v>2.5</v>
      </c>
      <c r="D4" s="10">
        <v>2</v>
      </c>
      <c r="E4" s="10">
        <v>2</v>
      </c>
      <c r="F4" s="10">
        <v>1.5</v>
      </c>
      <c r="G4" s="10">
        <v>1.5</v>
      </c>
      <c r="H4" s="11">
        <v>12</v>
      </c>
    </row>
    <row r="5" spans="1:16" ht="16.899999999999999" x14ac:dyDescent="0.3">
      <c r="A5" s="8" t="s">
        <v>60</v>
      </c>
      <c r="B5" s="10">
        <v>0.5</v>
      </c>
      <c r="C5" s="10">
        <v>0.5</v>
      </c>
      <c r="D5" s="10">
        <v>0.5</v>
      </c>
      <c r="E5" s="10">
        <v>0.5</v>
      </c>
      <c r="F5" s="10">
        <v>0.5</v>
      </c>
      <c r="G5" s="10">
        <v>0.5</v>
      </c>
      <c r="H5" s="11">
        <v>3</v>
      </c>
    </row>
    <row r="6" spans="1:16" ht="16.899999999999999" x14ac:dyDescent="0.3">
      <c r="A6" s="9"/>
      <c r="B6" s="10"/>
      <c r="C6" s="10"/>
      <c r="D6" s="10"/>
      <c r="E6" s="10"/>
      <c r="F6" s="10"/>
      <c r="G6" s="10"/>
      <c r="H6" s="11"/>
    </row>
    <row r="7" spans="1:16" ht="16.899999999999999" x14ac:dyDescent="0.3">
      <c r="A7" s="9" t="s">
        <v>44</v>
      </c>
      <c r="B7" s="11">
        <f>SUM(B8:B9)</f>
        <v>4</v>
      </c>
      <c r="C7" s="11">
        <f>SUM(C8:C9)</f>
        <v>4</v>
      </c>
      <c r="D7" s="11">
        <f>SUM(D8:D9)</f>
        <v>3.5</v>
      </c>
      <c r="E7" s="11">
        <f>SUM(E8:E9)</f>
        <v>3.5</v>
      </c>
      <c r="F7" s="11">
        <f>SUM(F8:F9)</f>
        <v>2.5</v>
      </c>
      <c r="G7" s="11">
        <f>SUM(G8:G9)</f>
        <v>2.5</v>
      </c>
      <c r="H7" s="11">
        <f>SUM(H8:H9)</f>
        <v>20</v>
      </c>
    </row>
    <row r="8" spans="1:16" ht="16.899999999999999" x14ac:dyDescent="0.3">
      <c r="A8" s="8" t="s">
        <v>53</v>
      </c>
      <c r="B8" s="10">
        <v>2.5</v>
      </c>
      <c r="C8" s="10">
        <v>2.5</v>
      </c>
      <c r="D8" s="10">
        <v>2</v>
      </c>
      <c r="E8" s="10">
        <v>2</v>
      </c>
      <c r="F8" s="10">
        <v>1.5</v>
      </c>
      <c r="G8" s="10">
        <v>1.5</v>
      </c>
      <c r="H8" s="11">
        <v>12</v>
      </c>
    </row>
    <row r="9" spans="1:16" ht="16.899999999999999" x14ac:dyDescent="0.3">
      <c r="A9" s="8" t="s">
        <v>54</v>
      </c>
      <c r="B9" s="10">
        <v>1.5</v>
      </c>
      <c r="C9" s="10">
        <v>1.5</v>
      </c>
      <c r="D9" s="10">
        <v>1.5</v>
      </c>
      <c r="E9" s="10">
        <v>1.5</v>
      </c>
      <c r="F9" s="10">
        <v>1</v>
      </c>
      <c r="G9" s="10">
        <v>1</v>
      </c>
      <c r="H9" s="11">
        <v>8</v>
      </c>
    </row>
    <row r="10" spans="1:16" ht="16.899999999999999" x14ac:dyDescent="0.3">
      <c r="A10" s="9"/>
      <c r="B10" s="10"/>
      <c r="C10" s="10"/>
      <c r="D10" s="10"/>
      <c r="E10" s="10"/>
      <c r="F10" s="10"/>
      <c r="G10" s="10"/>
      <c r="H10" s="11"/>
    </row>
    <row r="11" spans="1:16" ht="16.899999999999999" x14ac:dyDescent="0.3">
      <c r="A11" s="9" t="s">
        <v>50</v>
      </c>
      <c r="B11" s="11">
        <f>SUM(B12:B13)</f>
        <v>1.5</v>
      </c>
      <c r="C11" s="11">
        <f>SUM(C12:C13)</f>
        <v>1.5</v>
      </c>
      <c r="D11" s="11">
        <f>SUM(D12:D13)</f>
        <v>1.5</v>
      </c>
      <c r="E11" s="11">
        <f>SUM(E12:E13)</f>
        <v>1.5</v>
      </c>
      <c r="F11" s="11">
        <f>SUM(F12:F13)</f>
        <v>2</v>
      </c>
      <c r="G11" s="11">
        <f>SUM(G12:G13)</f>
        <v>2</v>
      </c>
      <c r="H11" s="11">
        <f>SUM(H12:H13)</f>
        <v>10</v>
      </c>
      <c r="I11" s="9"/>
      <c r="J11" s="6"/>
      <c r="K11" s="6"/>
      <c r="L11" s="6"/>
      <c r="M11" s="6"/>
      <c r="N11" s="6"/>
      <c r="O11" s="6"/>
      <c r="P11" s="6"/>
    </row>
    <row r="12" spans="1:16" ht="16.899999999999999" x14ac:dyDescent="0.3">
      <c r="A12" s="8" t="s">
        <v>56</v>
      </c>
      <c r="B12" s="10">
        <v>1.2</v>
      </c>
      <c r="C12" s="10">
        <v>1.2</v>
      </c>
      <c r="D12" s="10">
        <v>1.2</v>
      </c>
      <c r="E12" s="10">
        <v>1.2</v>
      </c>
      <c r="F12" s="10">
        <v>1.5</v>
      </c>
      <c r="G12" s="10">
        <v>1.5</v>
      </c>
      <c r="H12" s="11">
        <v>7.8</v>
      </c>
      <c r="I12" s="9"/>
      <c r="J12" s="6"/>
      <c r="K12" s="6"/>
      <c r="L12" s="6"/>
      <c r="M12" s="6"/>
      <c r="N12" s="6"/>
      <c r="O12" s="6"/>
      <c r="P12" s="6"/>
    </row>
    <row r="13" spans="1:16" ht="16.899999999999999" x14ac:dyDescent="0.3">
      <c r="A13" s="8" t="s">
        <v>57</v>
      </c>
      <c r="B13" s="10">
        <v>0.3</v>
      </c>
      <c r="C13" s="10">
        <v>0.3</v>
      </c>
      <c r="D13" s="10">
        <v>0.3</v>
      </c>
      <c r="E13" s="10">
        <v>0.3</v>
      </c>
      <c r="F13" s="10">
        <v>0.5</v>
      </c>
      <c r="G13" s="10">
        <v>0.5</v>
      </c>
      <c r="H13" s="11">
        <v>2.2000000000000002</v>
      </c>
      <c r="I13" s="9"/>
      <c r="J13" s="6"/>
      <c r="K13" s="6"/>
      <c r="L13" s="6"/>
      <c r="M13" s="6"/>
      <c r="N13" s="6"/>
      <c r="O13" s="6"/>
      <c r="P13" s="6"/>
    </row>
    <row r="14" spans="1:16" ht="16.899999999999999" x14ac:dyDescent="0.3">
      <c r="A14" s="8"/>
      <c r="B14" s="10"/>
      <c r="C14" s="10"/>
      <c r="D14" s="10"/>
      <c r="E14" s="10"/>
      <c r="F14" s="10"/>
      <c r="G14" s="10"/>
      <c r="H14" s="11"/>
      <c r="I14" s="9"/>
      <c r="J14" s="6"/>
      <c r="K14" s="6"/>
      <c r="L14" s="6"/>
      <c r="M14" s="6"/>
      <c r="N14" s="6"/>
      <c r="O14" s="6"/>
      <c r="P14" s="6"/>
    </row>
    <row r="15" spans="1:16" ht="16.899999999999999" x14ac:dyDescent="0.3">
      <c r="A15" s="9" t="s">
        <v>17</v>
      </c>
      <c r="B15" s="10">
        <v>0</v>
      </c>
      <c r="C15" s="10">
        <v>0.5</v>
      </c>
      <c r="D15" s="10">
        <v>1</v>
      </c>
      <c r="E15" s="10">
        <v>1.5</v>
      </c>
      <c r="F15" s="10">
        <v>1</v>
      </c>
      <c r="G15" s="10">
        <v>1</v>
      </c>
      <c r="H15" s="11">
        <v>5</v>
      </c>
      <c r="I15" s="9"/>
      <c r="J15" s="6"/>
      <c r="K15" s="6"/>
      <c r="L15" s="6"/>
      <c r="M15" s="6"/>
      <c r="N15" s="6"/>
      <c r="O15" s="6"/>
      <c r="P15" s="6"/>
    </row>
    <row r="16" spans="1:16" ht="16.899999999999999" x14ac:dyDescent="0.3">
      <c r="A16" s="8"/>
      <c r="B16" s="10"/>
      <c r="C16" s="10"/>
      <c r="D16" s="10"/>
      <c r="E16" s="10"/>
      <c r="F16" s="10"/>
      <c r="G16" s="10"/>
      <c r="H16" s="11"/>
      <c r="I16" s="9"/>
      <c r="J16" s="6"/>
      <c r="K16" s="6"/>
      <c r="L16" s="6"/>
      <c r="M16" s="6"/>
      <c r="N16" s="6"/>
      <c r="O16" s="6"/>
      <c r="P16" s="6"/>
    </row>
    <row r="17" spans="1:16" ht="16.899999999999999" x14ac:dyDescent="0.3">
      <c r="A17" s="8"/>
      <c r="B17" s="10"/>
      <c r="C17" s="10"/>
      <c r="D17" s="10"/>
      <c r="E17" s="10"/>
      <c r="F17" s="10"/>
      <c r="G17" s="10"/>
      <c r="H17" s="11"/>
      <c r="I17" s="9"/>
      <c r="J17" s="6"/>
      <c r="K17" s="6"/>
      <c r="L17" s="6"/>
      <c r="M17" s="6"/>
      <c r="N17" s="6"/>
      <c r="O17" s="6"/>
      <c r="P17" s="6"/>
    </row>
    <row r="18" spans="1:16" ht="16.899999999999999" x14ac:dyDescent="0.3">
      <c r="A18" s="9" t="s">
        <v>45</v>
      </c>
      <c r="B18" s="11">
        <f>B3+B7+B11+B15</f>
        <v>8.5</v>
      </c>
      <c r="C18" s="11">
        <f t="shared" ref="C18:G18" si="0">C3+C7+C11+C15</f>
        <v>9</v>
      </c>
      <c r="D18" s="11">
        <f t="shared" si="0"/>
        <v>8.5</v>
      </c>
      <c r="E18" s="11">
        <f t="shared" si="0"/>
        <v>9</v>
      </c>
      <c r="F18" s="11">
        <f t="shared" si="0"/>
        <v>7.5</v>
      </c>
      <c r="G18" s="11">
        <f t="shared" si="0"/>
        <v>7.5</v>
      </c>
      <c r="H18" s="11">
        <v>50</v>
      </c>
      <c r="I18" s="9"/>
      <c r="J18" s="6"/>
      <c r="K18" s="6"/>
      <c r="L18" s="6"/>
      <c r="M18" s="6"/>
      <c r="N18" s="6"/>
      <c r="O18" s="6"/>
      <c r="P18" s="6"/>
    </row>
    <row r="19" spans="1:16" ht="16.899999999999999" x14ac:dyDescent="0.3">
      <c r="A19" s="8"/>
      <c r="B19" s="10"/>
      <c r="C19" s="10"/>
      <c r="D19" s="10"/>
      <c r="E19" s="10"/>
      <c r="F19" s="10"/>
      <c r="G19" s="10"/>
      <c r="H19" s="11"/>
      <c r="I19" s="9"/>
      <c r="J19" s="6"/>
      <c r="K19" s="6"/>
      <c r="L19" s="6"/>
      <c r="M19" s="6"/>
      <c r="N19" s="6"/>
      <c r="O19" s="6"/>
      <c r="P19" s="6"/>
    </row>
    <row r="20" spans="1:16" ht="16.899999999999999" x14ac:dyDescent="0.3">
      <c r="A20" s="8"/>
      <c r="B20" s="10"/>
      <c r="C20" s="10"/>
      <c r="D20" s="10"/>
      <c r="E20" s="10"/>
      <c r="F20" s="10"/>
      <c r="G20" s="10"/>
      <c r="H20" s="11"/>
      <c r="I20" s="9"/>
      <c r="J20" s="6"/>
      <c r="K20" s="6"/>
      <c r="L20" s="6"/>
      <c r="M20" s="6"/>
      <c r="N20" s="6"/>
      <c r="O20" s="6"/>
      <c r="P20" s="6"/>
    </row>
    <row r="21" spans="1:16" ht="16.899999999999999" x14ac:dyDescent="0.3">
      <c r="A21" s="16" t="s">
        <v>51</v>
      </c>
      <c r="B21" s="12" t="s">
        <v>21</v>
      </c>
      <c r="C21" s="12" t="s">
        <v>22</v>
      </c>
      <c r="D21" s="12" t="s">
        <v>23</v>
      </c>
      <c r="E21" s="12" t="s">
        <v>24</v>
      </c>
      <c r="F21" s="12" t="s">
        <v>25</v>
      </c>
      <c r="G21" s="12" t="s">
        <v>26</v>
      </c>
      <c r="H21" s="12" t="s">
        <v>4</v>
      </c>
    </row>
    <row r="22" spans="1:16" ht="16.899999999999999" x14ac:dyDescent="0.3">
      <c r="A22" s="9" t="s">
        <v>43</v>
      </c>
      <c r="B22" s="11">
        <f>SUM(B23:B23)</f>
        <v>0.3</v>
      </c>
      <c r="C22" s="11">
        <f t="shared" ref="C22:H22" si="1">SUM(C23:C23)</f>
        <v>0.5</v>
      </c>
      <c r="D22" s="11">
        <f t="shared" si="1"/>
        <v>0.7</v>
      </c>
      <c r="E22" s="11">
        <f t="shared" si="1"/>
        <v>0.8</v>
      </c>
      <c r="F22" s="11">
        <f t="shared" si="1"/>
        <v>0.9</v>
      </c>
      <c r="G22" s="11">
        <f t="shared" si="1"/>
        <v>0.8</v>
      </c>
      <c r="H22" s="11">
        <f t="shared" si="1"/>
        <v>4</v>
      </c>
    </row>
    <row r="23" spans="1:16" ht="16.899999999999999" x14ac:dyDescent="0.3">
      <c r="A23" s="8" t="s">
        <v>52</v>
      </c>
      <c r="B23" s="10">
        <v>0.3</v>
      </c>
      <c r="C23" s="10">
        <v>0.5</v>
      </c>
      <c r="D23" s="10">
        <v>0.7</v>
      </c>
      <c r="E23" s="10">
        <v>0.8</v>
      </c>
      <c r="F23" s="10">
        <v>0.9</v>
      </c>
      <c r="G23" s="10">
        <v>0.8</v>
      </c>
      <c r="H23" s="11">
        <v>4</v>
      </c>
    </row>
    <row r="24" spans="1:16" ht="16.899999999999999" x14ac:dyDescent="0.3">
      <c r="A24" s="8"/>
      <c r="B24" s="10"/>
      <c r="C24" s="10"/>
      <c r="D24" s="10"/>
      <c r="E24" s="10"/>
      <c r="F24" s="10"/>
      <c r="G24" s="10"/>
      <c r="H24" s="11"/>
    </row>
    <row r="25" spans="1:16" ht="16.899999999999999" x14ac:dyDescent="0.3">
      <c r="A25" s="9" t="s">
        <v>44</v>
      </c>
      <c r="B25" s="11">
        <f t="shared" ref="B25:H25" si="2">SUM(B26:B26)</f>
        <v>0.2</v>
      </c>
      <c r="C25" s="11">
        <f t="shared" si="2"/>
        <v>0.3</v>
      </c>
      <c r="D25" s="11">
        <f t="shared" si="2"/>
        <v>0.5</v>
      </c>
      <c r="E25" s="11">
        <f t="shared" si="2"/>
        <v>0.6</v>
      </c>
      <c r="F25" s="11">
        <f t="shared" si="2"/>
        <v>0.7</v>
      </c>
      <c r="G25" s="11">
        <f t="shared" si="2"/>
        <v>0.7</v>
      </c>
      <c r="H25" s="11">
        <f t="shared" si="2"/>
        <v>3</v>
      </c>
    </row>
    <row r="26" spans="1:16" ht="16.899999999999999" x14ac:dyDescent="0.3">
      <c r="A26" s="8" t="s">
        <v>55</v>
      </c>
      <c r="B26" s="10">
        <v>0.2</v>
      </c>
      <c r="C26" s="10">
        <v>0.3</v>
      </c>
      <c r="D26" s="10">
        <v>0.5</v>
      </c>
      <c r="E26" s="10">
        <v>0.6</v>
      </c>
      <c r="F26" s="10">
        <v>0.7</v>
      </c>
      <c r="G26" s="10">
        <v>0.7</v>
      </c>
      <c r="H26" s="11">
        <v>3</v>
      </c>
    </row>
    <row r="27" spans="1:16" ht="16.899999999999999" x14ac:dyDescent="0.3">
      <c r="A27" s="8"/>
      <c r="B27" s="10"/>
      <c r="C27" s="10"/>
      <c r="D27" s="10"/>
      <c r="E27" s="10"/>
      <c r="F27" s="10"/>
      <c r="G27" s="10"/>
      <c r="H27" s="11"/>
    </row>
    <row r="28" spans="1:16" ht="16.899999999999999" x14ac:dyDescent="0.3">
      <c r="A28" s="9" t="s">
        <v>50</v>
      </c>
      <c r="B28" s="11">
        <f>SUM(B29:B30)</f>
        <v>0.60000000000000009</v>
      </c>
      <c r="C28" s="11">
        <f>SUM(C29:C30)</f>
        <v>1.1000000000000001</v>
      </c>
      <c r="D28" s="11">
        <f>SUM(D29:D30)</f>
        <v>1.3</v>
      </c>
      <c r="E28" s="11">
        <f>SUM(E29:E30)</f>
        <v>1.5</v>
      </c>
      <c r="F28" s="11">
        <f>SUM(F29:F30)</f>
        <v>1.7</v>
      </c>
      <c r="G28" s="11">
        <f>SUM(G29:G30)</f>
        <v>1.7</v>
      </c>
      <c r="H28" s="11">
        <f>SUM(H29:H30)</f>
        <v>7.9</v>
      </c>
    </row>
    <row r="29" spans="1:16" ht="16.899999999999999" x14ac:dyDescent="0.3">
      <c r="A29" s="8" t="s">
        <v>58</v>
      </c>
      <c r="B29" s="10">
        <v>0.4</v>
      </c>
      <c r="C29" s="10">
        <v>0.7</v>
      </c>
      <c r="D29" s="10">
        <v>0.8</v>
      </c>
      <c r="E29" s="10">
        <v>0.9</v>
      </c>
      <c r="F29" s="10">
        <v>1</v>
      </c>
      <c r="G29" s="10">
        <v>1</v>
      </c>
      <c r="H29" s="11">
        <v>4.8</v>
      </c>
    </row>
    <row r="30" spans="1:16" ht="16.899999999999999" x14ac:dyDescent="0.3">
      <c r="A30" s="8" t="s">
        <v>59</v>
      </c>
      <c r="B30" s="10">
        <v>0.2</v>
      </c>
      <c r="C30" s="10">
        <v>0.4</v>
      </c>
      <c r="D30" s="10">
        <v>0.5</v>
      </c>
      <c r="E30" s="10">
        <v>0.6</v>
      </c>
      <c r="F30" s="10">
        <v>0.7</v>
      </c>
      <c r="G30" s="10">
        <v>0.7</v>
      </c>
      <c r="H30" s="11">
        <v>3.1</v>
      </c>
    </row>
    <row r="31" spans="1:16" ht="16.899999999999999" x14ac:dyDescent="0.3">
      <c r="A31" s="8"/>
      <c r="B31" s="10"/>
      <c r="C31" s="10"/>
      <c r="D31" s="10"/>
      <c r="E31" s="10"/>
      <c r="F31" s="10"/>
      <c r="G31" s="10"/>
      <c r="H31" s="11"/>
    </row>
    <row r="32" spans="1:16" ht="16.899999999999999" x14ac:dyDescent="0.3">
      <c r="A32" s="9" t="s">
        <v>46</v>
      </c>
      <c r="B32" s="11">
        <f>B22+B25+B28</f>
        <v>1.1000000000000001</v>
      </c>
      <c r="C32" s="11">
        <f t="shared" ref="C32:H32" si="3">C22+C25+C28</f>
        <v>1.9000000000000001</v>
      </c>
      <c r="D32" s="11">
        <f t="shared" si="3"/>
        <v>2.5</v>
      </c>
      <c r="E32" s="11">
        <f t="shared" si="3"/>
        <v>2.9</v>
      </c>
      <c r="F32" s="11">
        <f t="shared" si="3"/>
        <v>3.3</v>
      </c>
      <c r="G32" s="11">
        <f t="shared" si="3"/>
        <v>3.2</v>
      </c>
      <c r="H32" s="11">
        <f t="shared" si="3"/>
        <v>14.9</v>
      </c>
    </row>
    <row r="34" spans="1:1" x14ac:dyDescent="0.3">
      <c r="A34" s="7"/>
    </row>
    <row r="36" spans="1:1" x14ac:dyDescent="0.3">
      <c r="A36" s="18"/>
    </row>
    <row r="38" spans="1:1" x14ac:dyDescent="0.3">
      <c r="A3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 Income Statement</vt:lpstr>
      <vt:lpstr>02 Cash Flow</vt:lpstr>
      <vt:lpstr>CapEx &amp; OpEx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Akshay Vijay</dc:creator>
  <cp:lastModifiedBy>Manyata Agrawal</cp:lastModifiedBy>
  <dcterms:created xsi:type="dcterms:W3CDTF">2026-05-01T22:45:48Z</dcterms:created>
  <dcterms:modified xsi:type="dcterms:W3CDTF">2026-05-02T00:23:45Z</dcterms:modified>
</cp:coreProperties>
</file>